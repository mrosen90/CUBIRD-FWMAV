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operunion-my.sharepoint.com/personal/michelle_rosen_cooper_edu/Documents/Research-BIRDLab/FWMAVs/"/>
    </mc:Choice>
  </mc:AlternateContent>
  <xr:revisionPtr revIDLastSave="788" documentId="8_{30687C8D-8A81-4E83-87A7-E16AE8862C53}" xr6:coauthVersionLast="47" xr6:coauthVersionMax="47" xr10:uidLastSave="{346315F9-3D62-4643-B97E-938A6BC49C99}"/>
  <bookViews>
    <workbookView xWindow="-110" yWindow="-110" windowWidth="25820" windowHeight="15500" xr2:uid="{7FF9E5DC-6C15-48A0-87E6-A999C231DB47}"/>
  </bookViews>
  <sheets>
    <sheet name="Bill of Material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E18" i="2"/>
  <c r="F18" i="2" s="1"/>
  <c r="E10" i="2" l="1"/>
  <c r="E25" i="2"/>
  <c r="E7" i="2"/>
  <c r="F7" i="2" s="1"/>
  <c r="E3" i="2"/>
  <c r="F3" i="2" s="1"/>
  <c r="E22" i="2"/>
  <c r="E21" i="2"/>
  <c r="F21" i="2" s="1"/>
  <c r="E15" i="2"/>
  <c r="E2" i="2"/>
  <c r="F2" i="2" s="1"/>
  <c r="E20" i="2"/>
  <c r="F20" i="2" s="1"/>
  <c r="E17" i="2"/>
  <c r="F17" i="2" s="1"/>
  <c r="E16" i="2"/>
  <c r="F16" i="2" s="1"/>
  <c r="E14" i="2"/>
  <c r="F14" i="2" s="1"/>
  <c r="E9" i="2"/>
  <c r="F9" i="2" s="1"/>
  <c r="E8" i="2"/>
  <c r="F8" i="2" s="1"/>
  <c r="E5" i="2"/>
  <c r="F5" i="2" s="1"/>
  <c r="E6" i="2"/>
  <c r="F6" i="2" s="1"/>
  <c r="E4" i="2"/>
  <c r="F4" i="2" s="1"/>
  <c r="E51" i="2" l="1"/>
  <c r="F51" i="2"/>
</calcChain>
</file>

<file path=xl/sharedStrings.xml><?xml version="1.0" encoding="utf-8"?>
<sst xmlns="http://schemas.openxmlformats.org/spreadsheetml/2006/main" count="134" uniqueCount="112">
  <si>
    <t>Part Description</t>
  </si>
  <si>
    <t>Pack Size or Length 
(if applicable)</t>
  </si>
  <si>
    <t>Part Quantity</t>
  </si>
  <si>
    <t>Unit Price</t>
  </si>
  <si>
    <t>Total Price</t>
  </si>
  <si>
    <t>Vendor Link</t>
  </si>
  <si>
    <t>Notes</t>
  </si>
  <si>
    <t>Cheese Head Slotted Screw, M1 x  0.25 mm Thread Size, 6 mm Long</t>
  </si>
  <si>
    <t>Pack of 5</t>
  </si>
  <si>
    <t>https://www.mcmaster.com/91800A058/</t>
  </si>
  <si>
    <t>White Delrin Acetal Resin Tube, Tight Tolerance, 1/8" OD x 1/16" ID</t>
  </si>
  <si>
    <t>3 feet length</t>
  </si>
  <si>
    <t>https://www.mcmaster.com/8627K119-8627K113/</t>
  </si>
  <si>
    <t>Radial Magnets, Inc. 9049, MAGNET 0.236"D X 0.098"THICK CYL</t>
  </si>
  <si>
    <t>https://www.digikey.com/en/products/detail/radial-magnets-inc/9049/6030786</t>
  </si>
  <si>
    <t xml:space="preserve">uxcell 100Pcs Silicone End Caps, 5mm(3/16") ID 10mm(3/8") Height Round Rubber Elastic Screw Thread Protectors </t>
  </si>
  <si>
    <t>Pack of 40</t>
  </si>
  <si>
    <t>https://www.amazon.com/gp/product/B0F9YG1KXM/ref=ewc_pr_img_1?smid=A30WUG2ZDGM0XM&amp;th=1</t>
  </si>
  <si>
    <t>136:1 Sub-Micro Plastic Planetary Gearmotor 6Dx19L mm</t>
  </si>
  <si>
    <t>https://www.pololu.com/product/2358</t>
  </si>
  <si>
    <t>Electronics</t>
  </si>
  <si>
    <t>Mounted Electronics</t>
  </si>
  <si>
    <t>Encoder PCB - 2-layer rigid printed circuit board</t>
  </si>
  <si>
    <t>Min order of 5</t>
  </si>
  <si>
    <t xml:space="preserve">https://jlcpcb.com/ </t>
  </si>
  <si>
    <t>Encoder PCB - Solder Paste Stencil</t>
  </si>
  <si>
    <t>https://jlcpcb.com/</t>
  </si>
  <si>
    <t xml:space="preserve">JLCPCB (ordered with boards) </t>
  </si>
  <si>
    <t>ams AS5047P High-Resolution Position Sensor</t>
  </si>
  <si>
    <t>https://mou.sr/4dcdEfg</t>
  </si>
  <si>
    <t>Multilayer Ceramic Capacitors MLCC - SMD/SMT 100nF+/-10% 16V X7R 0402</t>
  </si>
  <si>
    <t xml:space="preserve">https://mou.sr/42IdPsx </t>
  </si>
  <si>
    <t>Testing and Control Electronics</t>
  </si>
  <si>
    <t>Teensy 4.0</t>
  </si>
  <si>
    <t>https://www.sparkfun.com/teensy-4-0.html</t>
  </si>
  <si>
    <t>TB6612FNG Dual Motor Driver Carrier</t>
  </si>
  <si>
    <t>https://www.pololu.com/product/713</t>
  </si>
  <si>
    <t>https://www.amazon.com/Breadboard-Minidodoca-Alligator-Raspberry-Electronic/dp/B0BP9V6WXX/ref=sr_1_9?dib=eyJ2IjoiMSJ9.FVU3Sx07JeemKGEyaYhYqiE7yIlfYwQL4DxNEPI1gTx0FlJ4gMBqFMS_zaKmmTDNOJcv2w7fvsYvFahhWUJvwi7Qnwv_Fkv_AK3GjoBTtVFD2QIrGwoFlpd702rZ5Kwb55t4PLRY3xkmP_k4p3JTbEzjyKNWUue1YUAC0raWH46nguqFi0B4yxkUFThknAaHzsWPOOoXuGlx-xBpEpVggipCu_UBS5MnOJm8f56IGAI.GGFzpau2Jc376Emf7FFgW6vrWEObJnxfDGahVrOn5IE&amp;dib_tag=se&amp;keywords=Power%2BModules&amp;qid=1754575313&amp;sr=8-9&amp;th=1</t>
  </si>
  <si>
    <t>if using jumpers:</t>
  </si>
  <si>
    <t>Teensy 4.0 headers</t>
  </si>
  <si>
    <t>https://www.sparkfun.com/teensy-stackable-header-kit.html?gQT=1</t>
  </si>
  <si>
    <t>Print File Name</t>
  </si>
  <si>
    <t>Print File Link</t>
  </si>
  <si>
    <t>Main motor base</t>
  </si>
  <si>
    <t>Magnet Holder</t>
  </si>
  <si>
    <t>Motor Roller</t>
  </si>
  <si>
    <t>Drive crank links</t>
  </si>
  <si>
    <t>Coupler links</t>
  </si>
  <si>
    <t>Output rocker links</t>
  </si>
  <si>
    <t>Wings</t>
  </si>
  <si>
    <t>Nylon Pan Head Screws Phillips, 0-80 Thread, 1/4" Long</t>
  </si>
  <si>
    <t>Pack of 100</t>
  </si>
  <si>
    <t>https://www.mcmaster.com/94735A703-93135A048/</t>
  </si>
  <si>
    <t>Delrin® Acetal Plastic Washer for Number 0 Screw Size, 0.062" ID, 0.187" OD</t>
  </si>
  <si>
    <t>Pack of 50</t>
  </si>
  <si>
    <t>https://www.mcmaster.com/95647A201/</t>
  </si>
  <si>
    <t>https://www.digikey.com/en/products/detail/bivar-inc/940-080/3101617</t>
  </si>
  <si>
    <t>Part Number (if applicable)</t>
  </si>
  <si>
    <t>91800A058</t>
  </si>
  <si>
    <t>Vendor</t>
  </si>
  <si>
    <t>McMaster</t>
  </si>
  <si>
    <t>DigiKey</t>
  </si>
  <si>
    <t>Pololu</t>
  </si>
  <si>
    <t>uxcell</t>
  </si>
  <si>
    <t>94735A703</t>
  </si>
  <si>
    <t>8627K119</t>
  </si>
  <si>
    <t>469-1075-ND</t>
  </si>
  <si>
    <t>95647A201</t>
  </si>
  <si>
    <t>940-080-ND</t>
  </si>
  <si>
    <t>Bivar Inc. 940-080 Round Spacer Nylon 2.03 mm</t>
  </si>
  <si>
    <t>Fabricated Parts</t>
  </si>
  <si>
    <t>Fabrication Method</t>
  </si>
  <si>
    <t>Laser Cut File Name</t>
  </si>
  <si>
    <t>Laser Cut File Link</t>
  </si>
  <si>
    <t>Fabricated at JLCPCB, populated in-house, see endcoder file for layout</t>
  </si>
  <si>
    <t>JLCPCB</t>
  </si>
  <si>
    <t>Mouser</t>
  </si>
  <si>
    <t>Sparkfun</t>
  </si>
  <si>
    <t xml:space="preserve">Y-shaped Front </t>
  </si>
  <si>
    <t>3D Printed or Laser Cut</t>
  </si>
  <si>
    <t xml:space="preserve">3D Printed </t>
  </si>
  <si>
    <t>3D Printed</t>
  </si>
  <si>
    <t>Bottom Support</t>
  </si>
  <si>
    <t>Side Supports</t>
  </si>
  <si>
    <t xml:space="preserve">3D Printed or Laser Cut </t>
  </si>
  <si>
    <t xml:space="preserve">Acrylic Thickness for Laser Cutting (if applicable) </t>
  </si>
  <si>
    <t>1/8"</t>
  </si>
  <si>
    <t>1/16"</t>
  </si>
  <si>
    <t xml:space="preserve">2 parts 1/8"
1 part 1/16" </t>
  </si>
  <si>
    <t>N/A</t>
  </si>
  <si>
    <t xml:space="preserve">Super Glue </t>
  </si>
  <si>
    <t xml:space="preserve"> (not included in final build, but helpful for sizing parts and/or tapping holes) </t>
  </si>
  <si>
    <t>Plastic Wrap (or other thin, lightweight membrane)</t>
  </si>
  <si>
    <t>Tape</t>
  </si>
  <si>
    <t>https://www.mcmaster.com/91772A059/</t>
  </si>
  <si>
    <t>91772A059</t>
  </si>
  <si>
    <t xml:space="preserve">Loctite Gel and Liquid Recommended </t>
  </si>
  <si>
    <t>Saran Wrap or other film</t>
  </si>
  <si>
    <t>For stretching membrane</t>
  </si>
  <si>
    <t>Other Assembly Materials</t>
  </si>
  <si>
    <t>26AWG Magnet Wire</t>
  </si>
  <si>
    <t>Quantity</t>
  </si>
  <si>
    <t>Part Assembly Number (corresponding to assembly instructions)</t>
  </si>
  <si>
    <t>Total (excluding 3D printing/laser cutting costs)</t>
  </si>
  <si>
    <t>Cost Per Transmission</t>
  </si>
  <si>
    <t xml:space="preserve">Power Supply Module (optional) </t>
  </si>
  <si>
    <t>To purchase</t>
  </si>
  <si>
    <t>Per Transmission</t>
  </si>
  <si>
    <t>Passivated 18-8 Stainless Steel Pan Head Phillips Screw 0-80 Thread, 1/2" Long (optional)</t>
  </si>
  <si>
    <t xml:space="preserve">Or other power supply for 5V and 3V3 </t>
  </si>
  <si>
    <t>Aluminum Electrolytic Capacitors - Radial Leaded 35V 10uF 105C 1k Hour Radial</t>
  </si>
  <si>
    <t>https://mou.sr/3VjK3tU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</si>
</sst>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rgb="FF336633"/>
      <name val="Arial"/>
      <family val="2"/>
    </font>
    <font>
      <b/>
      <sz val="9"/>
      <color rgb="FF336633"/>
      <name val="Arial"/>
      <family val="2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44" fontId="0" fillId="0" borderId="0" xfId="1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2" fillId="0" borderId="0" xfId="2"/>
    <xf numFmtId="0" fontId="6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164" fontId="0" fillId="0" borderId="0" xfId="1" applyNumberFormat="1" applyFont="1"/>
    <xf numFmtId="44" fontId="0" fillId="0" borderId="0" xfId="1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44" fontId="0" fillId="0" borderId="1" xfId="0" applyNumberFormat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164" fontId="0" fillId="0" borderId="1" xfId="0" applyNumberFormat="1" applyBorder="1"/>
    <xf numFmtId="0" fontId="6" fillId="3" borderId="1" xfId="0" applyFont="1" applyFill="1" applyBorder="1" applyAlignment="1">
      <alignment horizontal="center" wrapText="1"/>
    </xf>
    <xf numFmtId="44" fontId="0" fillId="0" borderId="1" xfId="1" applyFont="1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" TargetMode="External"/><Relationship Id="rId13" Type="http://schemas.openxmlformats.org/officeDocument/2006/relationships/hyperlink" Target="https://www.mcmaster.com/95647A201/" TargetMode="External"/><Relationship Id="rId3" Type="http://schemas.openxmlformats.org/officeDocument/2006/relationships/hyperlink" Target="https://www.digikey.com/en/products/detail/radial-magnets-inc/9049/6030786" TargetMode="External"/><Relationship Id="rId7" Type="http://schemas.openxmlformats.org/officeDocument/2006/relationships/hyperlink" Target="https://mou.sr/42IdPsx" TargetMode="External"/><Relationship Id="rId12" Type="http://schemas.openxmlformats.org/officeDocument/2006/relationships/hyperlink" Target="https://www.amazon.com/Breadboard-Minidodoca-Alligator-Raspberry-Electronic/dp/B0BP9V6WXX/ref=sr_1_9?dib=eyJ2IjoiMSJ9.FVU3Sx07JeemKGEyaYhYqiE7yIlfYwQL4DxNEPI1gTx0FlJ4gMBqFMS_zaKmmTDNOJcv2w7fvsYvFahhWUJvwi7Qnwv_Fkv_AK3GjoBTtVFD2QIrGwoFlpd702rZ5Kwb55t4PLRY3xkmP_k4p3JTbEzjyKNWUue1YUAC0raWH46nguqFi0B4yxkUFThknAaHzsWPOOoXuGlx-xBpEpVggipCu_UBS5MnOJm8f56IGAI.GGFzpau2Jc376Emf7FFgW6vrWEObJnxfDGahVrOn5IE&amp;dib_tag=se&amp;keywords=Power%2BModules&amp;qid=1754575313&amp;sr=8-9&amp;th=1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mcmaster.com/8627K119-8627K113/" TargetMode="External"/><Relationship Id="rId16" Type="http://schemas.openxmlformats.org/officeDocument/2006/relationships/hyperlink" Target="https://www.sparkfun.com/teensy-stackable-header-kit.html?gQT=1" TargetMode="External"/><Relationship Id="rId1" Type="http://schemas.openxmlformats.org/officeDocument/2006/relationships/hyperlink" Target="https://www.mcmaster.com/91800A058/" TargetMode="External"/><Relationship Id="rId6" Type="http://schemas.openxmlformats.org/officeDocument/2006/relationships/hyperlink" Target="https://mou.sr/4dcdEfg" TargetMode="External"/><Relationship Id="rId11" Type="http://schemas.openxmlformats.org/officeDocument/2006/relationships/hyperlink" Target="https://www.pololu.com/product/713" TargetMode="External"/><Relationship Id="rId5" Type="http://schemas.openxmlformats.org/officeDocument/2006/relationships/hyperlink" Target="https://www.pololu.com/product/2358" TargetMode="External"/><Relationship Id="rId15" Type="http://schemas.openxmlformats.org/officeDocument/2006/relationships/hyperlink" Target="https://www.digikey.com/en/products/detail/bivar-inc/940-080/3101617" TargetMode="External"/><Relationship Id="rId10" Type="http://schemas.openxmlformats.org/officeDocument/2006/relationships/hyperlink" Target="https://www.sparkfun.com/teensy-4-0.html" TargetMode="External"/><Relationship Id="rId4" Type="http://schemas.openxmlformats.org/officeDocument/2006/relationships/hyperlink" Target="https://www.amazon.com/gp/product/B0F9YG1KXM/ref=ewc_pr_img_1?smid=A30WUG2ZDGM0XM&amp;th=1" TargetMode="External"/><Relationship Id="rId9" Type="http://schemas.openxmlformats.org/officeDocument/2006/relationships/hyperlink" Target="https://jlcpcb.com/" TargetMode="External"/><Relationship Id="rId14" Type="http://schemas.openxmlformats.org/officeDocument/2006/relationships/hyperlink" Target="https://www.mcmaster.com/94735A703-93135A0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C8FF-E1B3-4833-ABB5-40EB44377329}">
  <sheetPr>
    <pageSetUpPr fitToPage="1"/>
  </sheetPr>
  <dimension ref="A1:K51"/>
  <sheetViews>
    <sheetView tabSelected="1" workbookViewId="0">
      <selection activeCell="F20" sqref="F20"/>
    </sheetView>
  </sheetViews>
  <sheetFormatPr defaultRowHeight="14.5" x14ac:dyDescent="0.35"/>
  <cols>
    <col min="1" max="1" width="59" style="1" customWidth="1"/>
    <col min="2" max="2" width="19.26953125" style="22" bestFit="1" customWidth="1"/>
    <col min="3" max="3" width="12.453125" bestFit="1" customWidth="1"/>
    <col min="4" max="4" width="16.08984375" style="5" customWidth="1"/>
    <col min="5" max="5" width="11.90625" style="5" customWidth="1"/>
    <col min="6" max="6" width="15" style="17" customWidth="1"/>
    <col min="7" max="8" width="13.54296875" customWidth="1"/>
    <col min="9" max="9" width="42.453125" customWidth="1"/>
    <col min="10" max="10" width="59.26953125" bestFit="1" customWidth="1"/>
  </cols>
  <sheetData>
    <row r="1" spans="1:11" s="4" customFormat="1" ht="32" x14ac:dyDescent="0.4">
      <c r="A1" s="2" t="s">
        <v>0</v>
      </c>
      <c r="B1" s="15" t="s">
        <v>1</v>
      </c>
      <c r="C1" s="2" t="s">
        <v>2</v>
      </c>
      <c r="D1" s="2" t="s">
        <v>3</v>
      </c>
      <c r="E1" s="2" t="s">
        <v>4</v>
      </c>
      <c r="F1" s="15" t="s">
        <v>104</v>
      </c>
      <c r="G1" s="2" t="s">
        <v>59</v>
      </c>
      <c r="H1" s="2" t="s">
        <v>57</v>
      </c>
      <c r="I1" s="3" t="s">
        <v>5</v>
      </c>
      <c r="J1" s="3" t="s">
        <v>6</v>
      </c>
      <c r="K1" s="3"/>
    </row>
    <row r="2" spans="1:11" x14ac:dyDescent="0.35">
      <c r="A2" s="1" t="s">
        <v>7</v>
      </c>
      <c r="B2" s="22" t="s">
        <v>8</v>
      </c>
      <c r="C2">
        <v>1</v>
      </c>
      <c r="D2" s="5">
        <v>6.4</v>
      </c>
      <c r="E2" s="5">
        <f>C2*D2</f>
        <v>6.4</v>
      </c>
      <c r="F2" s="16">
        <f>E2*(2/5)</f>
        <v>2.5600000000000005</v>
      </c>
      <c r="G2" t="s">
        <v>60</v>
      </c>
      <c r="H2" t="s">
        <v>58</v>
      </c>
      <c r="I2" s="9" t="s">
        <v>9</v>
      </c>
    </row>
    <row r="3" spans="1:11" x14ac:dyDescent="0.35">
      <c r="A3" s="1" t="s">
        <v>50</v>
      </c>
      <c r="B3" s="22" t="s">
        <v>51</v>
      </c>
      <c r="C3">
        <v>1</v>
      </c>
      <c r="D3" s="5">
        <v>7.59</v>
      </c>
      <c r="E3" s="5">
        <f>D3</f>
        <v>7.59</v>
      </c>
      <c r="F3" s="16">
        <f>E3*(8/100)</f>
        <v>0.60719999999999996</v>
      </c>
      <c r="G3" t="s">
        <v>60</v>
      </c>
      <c r="H3" t="s">
        <v>64</v>
      </c>
      <c r="I3" s="9" t="s">
        <v>52</v>
      </c>
    </row>
    <row r="4" spans="1:11" ht="16.5" customHeight="1" x14ac:dyDescent="0.35">
      <c r="A4" s="1" t="s">
        <v>10</v>
      </c>
      <c r="B4" s="22" t="s">
        <v>11</v>
      </c>
      <c r="C4">
        <v>1</v>
      </c>
      <c r="D4" s="5">
        <v>3.81</v>
      </c>
      <c r="E4" s="5">
        <f t="shared" ref="E4:E21" si="0">C4*D4</f>
        <v>3.81</v>
      </c>
      <c r="F4" s="16">
        <f>E4*(1/12)</f>
        <v>0.3175</v>
      </c>
      <c r="G4" t="s">
        <v>60</v>
      </c>
      <c r="H4" t="s">
        <v>65</v>
      </c>
      <c r="I4" s="9" t="s">
        <v>12</v>
      </c>
    </row>
    <row r="5" spans="1:11" ht="29" x14ac:dyDescent="0.35">
      <c r="A5" s="1" t="s">
        <v>53</v>
      </c>
      <c r="B5" s="22" t="s">
        <v>54</v>
      </c>
      <c r="C5">
        <v>1</v>
      </c>
      <c r="D5" s="5">
        <v>13.77</v>
      </c>
      <c r="E5" s="5">
        <f>C5*D5</f>
        <v>13.77</v>
      </c>
      <c r="F5" s="16">
        <f>E5*(12/50)</f>
        <v>3.3047999999999997</v>
      </c>
      <c r="G5" t="s">
        <v>60</v>
      </c>
      <c r="H5" t="s">
        <v>67</v>
      </c>
      <c r="I5" s="9" t="s">
        <v>55</v>
      </c>
    </row>
    <row r="6" spans="1:11" ht="16.5" customHeight="1" x14ac:dyDescent="0.35">
      <c r="A6" s="1" t="s">
        <v>13</v>
      </c>
      <c r="C6">
        <v>2</v>
      </c>
      <c r="D6" s="5">
        <v>0.78</v>
      </c>
      <c r="E6" s="5">
        <f>C6*D6</f>
        <v>1.56</v>
      </c>
      <c r="F6" s="16">
        <f>E6</f>
        <v>1.56</v>
      </c>
      <c r="G6" t="s">
        <v>61</v>
      </c>
      <c r="H6" t="s">
        <v>66</v>
      </c>
      <c r="I6" s="9" t="s">
        <v>14</v>
      </c>
    </row>
    <row r="7" spans="1:11" x14ac:dyDescent="0.35">
      <c r="A7" s="1" t="s">
        <v>69</v>
      </c>
      <c r="C7">
        <v>2</v>
      </c>
      <c r="D7" s="5">
        <v>0.1</v>
      </c>
      <c r="E7" s="5">
        <f t="shared" si="0"/>
        <v>0.2</v>
      </c>
      <c r="F7" s="16">
        <f>E7</f>
        <v>0.2</v>
      </c>
      <c r="G7" t="s">
        <v>61</v>
      </c>
      <c r="H7" t="s">
        <v>68</v>
      </c>
      <c r="I7" s="9" t="s">
        <v>56</v>
      </c>
    </row>
    <row r="8" spans="1:11" ht="29" x14ac:dyDescent="0.35">
      <c r="A8" s="1" t="s">
        <v>15</v>
      </c>
      <c r="B8" s="22" t="s">
        <v>16</v>
      </c>
      <c r="C8">
        <v>1</v>
      </c>
      <c r="D8" s="5">
        <v>6.19</v>
      </c>
      <c r="E8" s="5">
        <f t="shared" si="0"/>
        <v>6.19</v>
      </c>
      <c r="F8" s="16">
        <f>E8*(2/40)</f>
        <v>0.30950000000000005</v>
      </c>
      <c r="G8" t="s">
        <v>63</v>
      </c>
      <c r="I8" s="9" t="s">
        <v>17</v>
      </c>
    </row>
    <row r="9" spans="1:11" x14ac:dyDescent="0.35">
      <c r="A9" s="1" t="s">
        <v>18</v>
      </c>
      <c r="C9">
        <v>2</v>
      </c>
      <c r="D9" s="5">
        <v>19.95</v>
      </c>
      <c r="E9" s="5">
        <f t="shared" si="0"/>
        <v>39.9</v>
      </c>
      <c r="F9" s="16">
        <f>E9</f>
        <v>39.9</v>
      </c>
      <c r="G9" t="s">
        <v>62</v>
      </c>
      <c r="H9">
        <v>2358</v>
      </c>
      <c r="I9" s="9" t="s">
        <v>19</v>
      </c>
    </row>
    <row r="10" spans="1:11" ht="29" x14ac:dyDescent="0.35">
      <c r="A10" s="1" t="s">
        <v>108</v>
      </c>
      <c r="B10" s="22" t="s">
        <v>51</v>
      </c>
      <c r="C10">
        <v>1</v>
      </c>
      <c r="D10" s="5">
        <v>4.04</v>
      </c>
      <c r="E10" s="5">
        <f t="shared" si="0"/>
        <v>4.04</v>
      </c>
      <c r="F10" s="16">
        <v>0</v>
      </c>
      <c r="G10" t="s">
        <v>60</v>
      </c>
      <c r="H10" t="s">
        <v>95</v>
      </c>
      <c r="I10" s="9" t="s">
        <v>94</v>
      </c>
      <c r="J10" t="s">
        <v>91</v>
      </c>
    </row>
    <row r="11" spans="1:11" ht="18" x14ac:dyDescent="0.35">
      <c r="A11" s="6"/>
      <c r="B11" s="23"/>
    </row>
    <row r="12" spans="1:11" s="11" customFormat="1" x14ac:dyDescent="0.35">
      <c r="A12" s="10" t="s">
        <v>20</v>
      </c>
      <c r="B12" s="20"/>
      <c r="D12" s="12"/>
      <c r="E12" s="12"/>
      <c r="F12" s="18"/>
    </row>
    <row r="13" spans="1:11" x14ac:dyDescent="0.35">
      <c r="A13" s="8" t="s">
        <v>21</v>
      </c>
      <c r="B13" s="24"/>
    </row>
    <row r="14" spans="1:11" x14ac:dyDescent="0.35">
      <c r="A14" s="1" t="s">
        <v>22</v>
      </c>
      <c r="B14" s="22" t="s">
        <v>23</v>
      </c>
      <c r="C14">
        <v>5</v>
      </c>
      <c r="D14" s="5">
        <v>0.44</v>
      </c>
      <c r="E14" s="5">
        <f t="shared" si="0"/>
        <v>2.2000000000000002</v>
      </c>
      <c r="F14" s="16">
        <f>E14/5</f>
        <v>0.44000000000000006</v>
      </c>
      <c r="G14" t="s">
        <v>75</v>
      </c>
      <c r="I14" s="9" t="s">
        <v>24</v>
      </c>
      <c r="J14" t="s">
        <v>74</v>
      </c>
    </row>
    <row r="15" spans="1:11" x14ac:dyDescent="0.35">
      <c r="A15" s="1" t="s">
        <v>25</v>
      </c>
      <c r="C15">
        <v>1</v>
      </c>
      <c r="D15" s="5">
        <v>7.11</v>
      </c>
      <c r="E15" s="5">
        <f t="shared" si="0"/>
        <v>7.11</v>
      </c>
      <c r="F15" s="16">
        <f>E15/5</f>
        <v>1.4220000000000002</v>
      </c>
      <c r="G15" t="s">
        <v>75</v>
      </c>
      <c r="I15" s="9" t="s">
        <v>26</v>
      </c>
      <c r="J15" t="s">
        <v>27</v>
      </c>
    </row>
    <row r="16" spans="1:11" x14ac:dyDescent="0.35">
      <c r="A16" s="1" t="s">
        <v>28</v>
      </c>
      <c r="C16">
        <v>2</v>
      </c>
      <c r="D16" s="5">
        <v>7.81</v>
      </c>
      <c r="E16" s="5">
        <f t="shared" si="0"/>
        <v>15.62</v>
      </c>
      <c r="F16" s="16">
        <f>E16</f>
        <v>15.62</v>
      </c>
      <c r="G16" t="s">
        <v>76</v>
      </c>
      <c r="I16" s="9" t="s">
        <v>29</v>
      </c>
    </row>
    <row r="17" spans="1:10" ht="29" x14ac:dyDescent="0.35">
      <c r="A17" s="1" t="s">
        <v>30</v>
      </c>
      <c r="C17">
        <v>2</v>
      </c>
      <c r="D17" s="5">
        <v>0.1</v>
      </c>
      <c r="E17" s="5">
        <f t="shared" si="0"/>
        <v>0.2</v>
      </c>
      <c r="F17" s="16">
        <f>E17</f>
        <v>0.2</v>
      </c>
      <c r="G17" t="s">
        <v>76</v>
      </c>
      <c r="I17" s="9" t="s">
        <v>31</v>
      </c>
    </row>
    <row r="18" spans="1:10" ht="29" x14ac:dyDescent="0.35">
      <c r="A18" s="1" t="s">
        <v>110</v>
      </c>
      <c r="C18">
        <v>1</v>
      </c>
      <c r="D18" s="5">
        <v>0.21</v>
      </c>
      <c r="E18" s="5">
        <f t="shared" si="0"/>
        <v>0.21</v>
      </c>
      <c r="F18" s="16">
        <f>E18</f>
        <v>0.21</v>
      </c>
      <c r="G18" t="s">
        <v>76</v>
      </c>
      <c r="I18" s="9" t="s">
        <v>111</v>
      </c>
    </row>
    <row r="19" spans="1:10" x14ac:dyDescent="0.35">
      <c r="A19" s="8" t="s">
        <v>32</v>
      </c>
      <c r="I19" s="9"/>
    </row>
    <row r="20" spans="1:10" x14ac:dyDescent="0.35">
      <c r="A20" s="1" t="s">
        <v>33</v>
      </c>
      <c r="C20">
        <v>1</v>
      </c>
      <c r="D20" s="5">
        <v>23.8</v>
      </c>
      <c r="E20" s="5">
        <f t="shared" si="0"/>
        <v>23.8</v>
      </c>
      <c r="F20" s="16">
        <f>E20</f>
        <v>23.8</v>
      </c>
      <c r="G20" t="s">
        <v>77</v>
      </c>
      <c r="I20" s="9" t="s">
        <v>34</v>
      </c>
    </row>
    <row r="21" spans="1:10" x14ac:dyDescent="0.35">
      <c r="A21" s="1" t="s">
        <v>35</v>
      </c>
      <c r="C21">
        <v>1</v>
      </c>
      <c r="D21" s="5">
        <v>4.95</v>
      </c>
      <c r="E21" s="5">
        <f t="shared" si="0"/>
        <v>4.95</v>
      </c>
      <c r="F21" s="16">
        <f>E21</f>
        <v>4.95</v>
      </c>
      <c r="G21" t="s">
        <v>62</v>
      </c>
      <c r="I21" s="9" t="s">
        <v>36</v>
      </c>
    </row>
    <row r="22" spans="1:10" x14ac:dyDescent="0.35">
      <c r="A22" s="1" t="s">
        <v>105</v>
      </c>
      <c r="C22">
        <v>1</v>
      </c>
      <c r="D22" s="13">
        <v>9.99</v>
      </c>
      <c r="E22" s="13">
        <f>D22</f>
        <v>9.99</v>
      </c>
      <c r="F22" s="19">
        <v>0</v>
      </c>
      <c r="I22" s="9" t="s">
        <v>37</v>
      </c>
      <c r="J22" t="s">
        <v>109</v>
      </c>
    </row>
    <row r="24" spans="1:10" x14ac:dyDescent="0.35">
      <c r="A24" s="1" t="s">
        <v>38</v>
      </c>
    </row>
    <row r="25" spans="1:10" x14ac:dyDescent="0.35">
      <c r="A25" s="1" t="s">
        <v>39</v>
      </c>
      <c r="C25">
        <v>1</v>
      </c>
      <c r="D25" s="5">
        <v>2.25</v>
      </c>
      <c r="E25" s="5">
        <f>C25*D25</f>
        <v>2.25</v>
      </c>
      <c r="F25" s="16">
        <v>0</v>
      </c>
      <c r="I25" s="9" t="s">
        <v>40</v>
      </c>
    </row>
    <row r="26" spans="1:10" x14ac:dyDescent="0.35">
      <c r="I26" s="9"/>
    </row>
    <row r="27" spans="1:10" s="11" customFormat="1" x14ac:dyDescent="0.35">
      <c r="A27" s="10" t="s">
        <v>99</v>
      </c>
      <c r="B27" s="20"/>
      <c r="D27" s="12"/>
      <c r="E27" s="12"/>
      <c r="F27" s="18"/>
    </row>
    <row r="28" spans="1:10" x14ac:dyDescent="0.35">
      <c r="A28" s="1" t="s">
        <v>90</v>
      </c>
      <c r="I28" s="9"/>
      <c r="J28" t="s">
        <v>96</v>
      </c>
    </row>
    <row r="29" spans="1:10" x14ac:dyDescent="0.35">
      <c r="A29" s="1" t="s">
        <v>100</v>
      </c>
      <c r="I29" s="9"/>
    </row>
    <row r="30" spans="1:10" x14ac:dyDescent="0.35">
      <c r="A30" s="1" t="s">
        <v>92</v>
      </c>
      <c r="I30" s="9"/>
      <c r="J30" t="s">
        <v>97</v>
      </c>
    </row>
    <row r="31" spans="1:10" x14ac:dyDescent="0.35">
      <c r="A31" s="1" t="s">
        <v>93</v>
      </c>
      <c r="I31" s="9"/>
      <c r="J31" t="s">
        <v>98</v>
      </c>
    </row>
    <row r="32" spans="1:10" x14ac:dyDescent="0.35">
      <c r="I32" s="9"/>
    </row>
    <row r="33" spans="1:9" s="11" customFormat="1" ht="87" x14ac:dyDescent="0.35">
      <c r="A33" s="10" t="s">
        <v>70</v>
      </c>
      <c r="B33" s="20" t="s">
        <v>71</v>
      </c>
      <c r="C33" s="10" t="s">
        <v>101</v>
      </c>
      <c r="D33" s="10" t="s">
        <v>102</v>
      </c>
      <c r="E33" s="10" t="s">
        <v>85</v>
      </c>
      <c r="F33" s="20" t="s">
        <v>72</v>
      </c>
      <c r="G33" s="10" t="s">
        <v>73</v>
      </c>
      <c r="H33" s="10" t="s">
        <v>41</v>
      </c>
      <c r="I33" s="10" t="s">
        <v>42</v>
      </c>
    </row>
    <row r="34" spans="1:9" ht="14.5" customHeight="1" x14ac:dyDescent="0.35">
      <c r="A34" s="1" t="s">
        <v>43</v>
      </c>
      <c r="B34" s="22" t="s">
        <v>84</v>
      </c>
      <c r="C34">
        <v>1</v>
      </c>
      <c r="E34" s="5" t="s">
        <v>86</v>
      </c>
      <c r="I34" s="7"/>
    </row>
    <row r="35" spans="1:9" ht="14.5" customHeight="1" x14ac:dyDescent="0.35">
      <c r="A35" s="1" t="s">
        <v>78</v>
      </c>
      <c r="B35" s="22" t="s">
        <v>84</v>
      </c>
      <c r="C35">
        <v>1</v>
      </c>
      <c r="E35" s="5" t="s">
        <v>86</v>
      </c>
    </row>
    <row r="36" spans="1:9" ht="14.5" customHeight="1" x14ac:dyDescent="0.35">
      <c r="A36" s="1" t="s">
        <v>82</v>
      </c>
      <c r="B36" s="22" t="s">
        <v>79</v>
      </c>
      <c r="C36">
        <v>1</v>
      </c>
      <c r="E36" s="5" t="s">
        <v>86</v>
      </c>
      <c r="I36" s="6"/>
    </row>
    <row r="37" spans="1:9" ht="14.5" customHeight="1" x14ac:dyDescent="0.35">
      <c r="A37" s="1" t="s">
        <v>83</v>
      </c>
      <c r="B37" s="22" t="s">
        <v>84</v>
      </c>
      <c r="C37">
        <v>2</v>
      </c>
      <c r="E37" s="5" t="s">
        <v>87</v>
      </c>
      <c r="I37" s="6"/>
    </row>
    <row r="38" spans="1:9" ht="14.5" customHeight="1" x14ac:dyDescent="0.35">
      <c r="A38" s="1" t="s">
        <v>44</v>
      </c>
      <c r="B38" s="22" t="s">
        <v>84</v>
      </c>
      <c r="C38">
        <v>2</v>
      </c>
      <c r="E38" s="5" t="s">
        <v>86</v>
      </c>
      <c r="I38" s="7"/>
    </row>
    <row r="39" spans="1:9" ht="29" x14ac:dyDescent="0.35">
      <c r="A39" s="1" t="s">
        <v>45</v>
      </c>
      <c r="B39" s="22" t="s">
        <v>79</v>
      </c>
      <c r="C39">
        <v>2</v>
      </c>
      <c r="E39" s="14" t="s">
        <v>88</v>
      </c>
      <c r="I39" s="6"/>
    </row>
    <row r="40" spans="1:9" ht="14.5" customHeight="1" x14ac:dyDescent="0.35">
      <c r="A40" s="1" t="s">
        <v>46</v>
      </c>
      <c r="B40" s="22" t="s">
        <v>84</v>
      </c>
      <c r="C40">
        <v>2</v>
      </c>
      <c r="E40" s="5" t="s">
        <v>86</v>
      </c>
      <c r="I40" s="7"/>
    </row>
    <row r="41" spans="1:9" ht="14.5" customHeight="1" x14ac:dyDescent="0.35">
      <c r="A41" s="1" t="s">
        <v>47</v>
      </c>
      <c r="B41" s="22" t="s">
        <v>79</v>
      </c>
      <c r="C41">
        <v>2</v>
      </c>
      <c r="E41" s="5" t="s">
        <v>86</v>
      </c>
    </row>
    <row r="42" spans="1:9" x14ac:dyDescent="0.35">
      <c r="A42" s="1" t="s">
        <v>48</v>
      </c>
      <c r="B42" s="22" t="s">
        <v>80</v>
      </c>
      <c r="C42">
        <v>2</v>
      </c>
      <c r="E42" s="5" t="s">
        <v>89</v>
      </c>
    </row>
    <row r="43" spans="1:9" x14ac:dyDescent="0.35">
      <c r="A43" s="1" t="s">
        <v>49</v>
      </c>
      <c r="B43" s="22" t="s">
        <v>81</v>
      </c>
      <c r="C43">
        <v>2</v>
      </c>
      <c r="E43" s="5" t="s">
        <v>89</v>
      </c>
    </row>
    <row r="50" spans="1:6" x14ac:dyDescent="0.35">
      <c r="E50" s="5" t="s">
        <v>106</v>
      </c>
      <c r="F50" s="17" t="s">
        <v>107</v>
      </c>
    </row>
    <row r="51" spans="1:6" x14ac:dyDescent="0.35">
      <c r="A51" s="1" t="s">
        <v>103</v>
      </c>
      <c r="E51" s="5">
        <f>SUM(E2:E33)</f>
        <v>149.79000000000002</v>
      </c>
      <c r="F51" s="21">
        <f>SUM(F2:F33)</f>
        <v>95.400999999999996</v>
      </c>
    </row>
  </sheetData>
  <hyperlinks>
    <hyperlink ref="I2" r:id="rId1" xr:uid="{0DBACDB8-DA1E-4AA9-933F-25DAFABB49A5}"/>
    <hyperlink ref="I4" r:id="rId2" xr:uid="{1F3625F1-C15A-4504-972F-79C7E54C03C2}"/>
    <hyperlink ref="I6" r:id="rId3" xr:uid="{D95B5714-EAA4-4D77-80E0-6C7CA35E092B}"/>
    <hyperlink ref="I8" r:id="rId4" xr:uid="{4645D59D-1C53-4410-9400-02AEF47F2DC1}"/>
    <hyperlink ref="I9" r:id="rId5" xr:uid="{B1629F9A-417E-40A2-AB15-9BFACE5F138B}"/>
    <hyperlink ref="I16" r:id="rId6" xr:uid="{122F7567-15E8-4A76-80C4-D5ADD92A09C6}"/>
    <hyperlink ref="I17" r:id="rId7" xr:uid="{04451267-83D5-42B7-BE42-CC7783C8D2A1}"/>
    <hyperlink ref="I15" r:id="rId8" xr:uid="{96A3B464-2FD0-474E-9664-D07F90DFFD9F}"/>
    <hyperlink ref="I14" r:id="rId9" xr:uid="{0FFE0CD1-DE73-4815-A304-9F68760655B6}"/>
    <hyperlink ref="I20" r:id="rId10" xr:uid="{2CA1DC00-829E-419B-ACD0-24416A51F543}"/>
    <hyperlink ref="I21" r:id="rId11" xr:uid="{CD8DC3A5-2507-4DE5-B92D-70C6D9F837CF}"/>
    <hyperlink ref="I22" r:id="rId12" display="https://www.amazon.com/Breadboard-Minidodoca-Alligator-Raspberry-Electronic/dp/B0BP9V6WXX/ref=sr_1_9?dib=eyJ2IjoiMSJ9.FVU3Sx07JeemKGEyaYhYqiE7yIlfYwQL4DxNEPI1gTx0FlJ4gMBqFMS_zaKmmTDNOJcv2w7fvsYvFahhWUJvwi7Qnwv_Fkv_AK3GjoBTtVFD2QIrGwoFlpd702rZ5Kwb55t4PLRY3xkmP_k4p3JTbEzjyKNWUue1YUAC0raWH46nguqFi0B4yxkUFThknAaHzsWPOOoXuGlx-xBpEpVggipCu_UBS5MnOJm8f56IGAI.GGFzpau2Jc376Emf7FFgW6vrWEObJnxfDGahVrOn5IE&amp;dib_tag=se&amp;keywords=Power%2BModules&amp;qid=1754575313&amp;sr=8-9&amp;th=1" xr:uid="{B5A9D723-BC10-433A-A17B-BA7CFAC20B16}"/>
    <hyperlink ref="I5" r:id="rId13" xr:uid="{49AD5153-865D-43C4-A8CD-55655647B2F3}"/>
    <hyperlink ref="I3" r:id="rId14" xr:uid="{762810DD-FA35-4482-B69A-8B1913F05B96}"/>
    <hyperlink ref="I7" r:id="rId15" xr:uid="{D2DD161A-D837-41C3-A4FF-7B0906FDA215}"/>
    <hyperlink ref="I25" r:id="rId16" xr:uid="{38030C4C-24F0-4D6E-A86D-CAB9F633D26A}"/>
  </hyperlinks>
  <pageMargins left="0.7" right="0.7" top="0.75" bottom="0.75" header="0.3" footer="0.3"/>
  <pageSetup scale="45" orientation="landscape" horizontalDpi="1200" verticalDpi="120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Rosen</dc:creator>
  <cp:keywords/>
  <dc:description/>
  <cp:lastModifiedBy>Michelle Rosen</cp:lastModifiedBy>
  <cp:revision/>
  <cp:lastPrinted>2026-09-28T21:59:58Z</cp:lastPrinted>
  <dcterms:created xsi:type="dcterms:W3CDTF">2026-04-28T20:18:34Z</dcterms:created>
  <dcterms:modified xsi:type="dcterms:W3CDTF">2026-09-28T21:59:58Z</dcterms:modified>
  <cp:category/>
  <cp:contentStatus/>
</cp:coreProperties>
</file>